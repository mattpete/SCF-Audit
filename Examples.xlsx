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eterson\Git\SCF-Audit\"/>
    </mc:Choice>
  </mc:AlternateContent>
  <xr:revisionPtr revIDLastSave="0" documentId="13_ncr:1_{03E6613F-974C-4704-A0A7-6D7DA9E1A192}" xr6:coauthVersionLast="47" xr6:coauthVersionMax="47" xr10:uidLastSave="{00000000-0000-0000-0000-000000000000}"/>
  <bookViews>
    <workbookView xWindow="-49755" yWindow="2985" windowWidth="22980" windowHeight="15930" activeTab="1" xr2:uid="{D2D55026-8DB7-480C-B7BB-7094D4DE5357}"/>
  </bookViews>
  <sheets>
    <sheet name="Walmart Filings" sheetId="3" r:id="rId1"/>
    <sheet name="Akorn FIlin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4" l="1"/>
  <c r="E65" i="4"/>
  <c r="E64" i="4"/>
  <c r="E66" i="4"/>
  <c r="E63" i="4"/>
  <c r="E52" i="4"/>
  <c r="E50" i="4"/>
  <c r="E51" i="4"/>
  <c r="E53" i="4"/>
  <c r="E54" i="4"/>
  <c r="E55" i="4"/>
  <c r="E56" i="4"/>
  <c r="E57" i="4"/>
  <c r="E58" i="4"/>
  <c r="E59" i="4"/>
  <c r="E60" i="4"/>
  <c r="E61" i="4"/>
  <c r="E49" i="4"/>
  <c r="E69" i="4"/>
  <c r="E42" i="4"/>
  <c r="E39" i="4"/>
  <c r="E36" i="4"/>
  <c r="E28" i="4"/>
  <c r="E25" i="4"/>
  <c r="E22" i="4"/>
  <c r="E6" i="4"/>
  <c r="E10" i="4"/>
  <c r="E14" i="4"/>
  <c r="E11" i="4"/>
  <c r="E7" i="4"/>
  <c r="E71" i="3"/>
  <c r="E66" i="3"/>
  <c r="E72" i="3"/>
  <c r="E69" i="3"/>
  <c r="E67" i="3"/>
  <c r="E60" i="3"/>
  <c r="E58" i="3"/>
  <c r="E56" i="3"/>
  <c r="E32" i="3"/>
  <c r="E31" i="3"/>
  <c r="E30" i="3"/>
  <c r="E27" i="3"/>
  <c r="E26" i="3"/>
  <c r="E33" i="3"/>
  <c r="E28" i="3"/>
  <c r="E24" i="3"/>
  <c r="E40" i="3"/>
  <c r="E11" i="3"/>
  <c r="E13" i="3"/>
  <c r="E18" i="3"/>
  <c r="E8" i="3"/>
  <c r="E15" i="3"/>
  <c r="E16" i="3"/>
  <c r="E10" i="3"/>
  <c r="E9" i="3"/>
  <c r="E6" i="3"/>
  <c r="E17" i="3"/>
  <c r="E7" i="3"/>
  <c r="E50" i="3"/>
  <c r="E49" i="3"/>
  <c r="E48" i="3"/>
  <c r="E47" i="3"/>
  <c r="E46" i="3"/>
  <c r="E44" i="3"/>
  <c r="E43" i="3"/>
  <c r="E42" i="3"/>
</calcChain>
</file>

<file path=xl/sharedStrings.xml><?xml version="1.0" encoding="utf-8"?>
<sst xmlns="http://schemas.openxmlformats.org/spreadsheetml/2006/main" count="212" uniqueCount="77">
  <si>
    <t>XBRL Tag</t>
  </si>
  <si>
    <t>Investments and business acquisitions, net of cash acquired</t>
  </si>
  <si>
    <t>Other investing activities</t>
  </si>
  <si>
    <t>Account Name</t>
  </si>
  <si>
    <t>Net cash used in investing activities</t>
  </si>
  <si>
    <t>Dividends paid to and stock purchases of noncontrolling interests</t>
  </si>
  <si>
    <t>Other financing activities</t>
  </si>
  <si>
    <t>Purchase of noncontrolling interests</t>
  </si>
  <si>
    <t>Dividends paid to noncontrolling interests</t>
  </si>
  <si>
    <t>As-Filed</t>
  </si>
  <si>
    <t>Difference</t>
  </si>
  <si>
    <t>Net cash used in financing activities</t>
  </si>
  <si>
    <t>DividendsPaidtoandStockPurchasesofNoncontrollingInterest</t>
  </si>
  <si>
    <t>ProceedsFromPaymentsForOtherFinancingActivities</t>
  </si>
  <si>
    <t>PurchaseofNoncontrollingInterest</t>
  </si>
  <si>
    <t>PaymentsForProceedsFromOtherInvestingActivities</t>
  </si>
  <si>
    <t>NetCashProvidedByUsedInInvestingActivities</t>
  </si>
  <si>
    <t>NetCashProvidedByUsedInFinancingActivities</t>
  </si>
  <si>
    <t>DividendsPaidtoNoncontrollingInterest</t>
  </si>
  <si>
    <t>PaymentsToAcquireBusinessesNetOfCashAcquired</t>
  </si>
  <si>
    <t>End Date = 01-31-2012</t>
  </si>
  <si>
    <t>Walmart Fiscal Year 2013 10-K Statement of Cash Flows</t>
  </si>
  <si>
    <t>End Date = 01-31-2014</t>
  </si>
  <si>
    <t>Walmart Fiscal Year 2014 10-K Statement of Cash Flows</t>
  </si>
  <si>
    <t>Walmart Fiscal Year 2012 10-K Statement of Cash Flows</t>
  </si>
  <si>
    <t>Subsequent Years</t>
  </si>
  <si>
    <t>Notes</t>
  </si>
  <si>
    <t xml:space="preserve">This was disaggregated in FY2014 </t>
  </si>
  <si>
    <t>Income (loss) from discontinued operations, net of income taxes</t>
  </si>
  <si>
    <t>IncomeLossFromDiscontinuedOperationsNetOfTax</t>
  </si>
  <si>
    <t>*subtotal</t>
  </si>
  <si>
    <t>DepreciationAndAmortization</t>
  </si>
  <si>
    <t>IncreaseDecreaseInAccruedLiabilities</t>
  </si>
  <si>
    <t>Change in accrued income taxes</t>
  </si>
  <si>
    <t>Change in accrued liabilities</t>
  </si>
  <si>
    <t>Depreciation and amortization</t>
  </si>
  <si>
    <t>IncreaseDecreaseInAccruedTaxesPayable</t>
  </si>
  <si>
    <t>Other financing actvities</t>
  </si>
  <si>
    <t>Payment of capital lease obligations</t>
  </si>
  <si>
    <t>Net cash used in operating activities</t>
  </si>
  <si>
    <t>NetCashProvidedByUsedInOperatingActivities</t>
  </si>
  <si>
    <t>Other operating activities</t>
  </si>
  <si>
    <t>missing?</t>
  </si>
  <si>
    <t>End Date = 01-31-2013</t>
  </si>
  <si>
    <t>Walmart Fiscal Year 2015 10-K Statement of Cash Flows</t>
  </si>
  <si>
    <t>End Date = 01-31-2015</t>
  </si>
  <si>
    <t>Walmart Fiscal Year 2016 10-K Statement of Cash Flows</t>
  </si>
  <si>
    <t>End Date = 01-31-2016</t>
  </si>
  <si>
    <t>End Date = 12/31/2011</t>
  </si>
  <si>
    <t>Akorn Fiscal Year 2011 10-K Statement of Cash Flows</t>
  </si>
  <si>
    <t>Purchases of PPE</t>
  </si>
  <si>
    <t>Change in Trade Accounts Payable</t>
  </si>
  <si>
    <t>*Per 2012 10-K: "Capital expenditures that were accrued but not paid"</t>
  </si>
  <si>
    <t>Akorn Fiscal Year 2012 10-K Statement of Cash Flows</t>
  </si>
  <si>
    <t>End Date = 12/31/2012</t>
  </si>
  <si>
    <t>Akorn Fiscal Year 2013</t>
  </si>
  <si>
    <t>End Date = 12/31/2013</t>
  </si>
  <si>
    <t>*Change of XBRL tags in CFO but actual reclass between line items</t>
  </si>
  <si>
    <t>Akorn Fiscal Year 2014</t>
  </si>
  <si>
    <t>End Date = 12/31/2014</t>
  </si>
  <si>
    <t>Depreciation &amp; Amortization</t>
  </si>
  <si>
    <t>Amortization of deferred financing fees</t>
  </si>
  <si>
    <t>Gain from product divestiture</t>
  </si>
  <si>
    <t>Deferred income taxes</t>
  </si>
  <si>
    <t>Excess benefit from stock compensation</t>
  </si>
  <si>
    <t>Change in trade accounts receivable, net</t>
  </si>
  <si>
    <t>Change in inventories, net</t>
  </si>
  <si>
    <t>Change in prepaid expenses and other current assets</t>
  </si>
  <si>
    <t>Change in trade accounts payable</t>
  </si>
  <si>
    <t>Change in accrued expenses and other liabilities</t>
  </si>
  <si>
    <t>Consolidated net income</t>
  </si>
  <si>
    <t>Non-cash stock compensation expense</t>
  </si>
  <si>
    <t>Payments for acquisitions and equity investments</t>
  </si>
  <si>
    <t>Proceeds from disposal of assets</t>
  </si>
  <si>
    <t>Purchases of property, plant, and equipment</t>
  </si>
  <si>
    <t>Excess tax benefits from stock compensation</t>
  </si>
  <si>
    <t>Restatement of rebate reserves in addition to many other 'immaterial errors'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</si>
</sst>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43" fontId="0" fillId="0" borderId="1" xfId="1" applyFont="1" applyBorder="1"/>
    <xf numFmtId="43" fontId="0" fillId="0" borderId="1" xfId="0" applyNumberFormat="1" applyBorder="1"/>
    <xf numFmtId="0" fontId="0" fillId="2" borderId="0" xfId="0" applyFill="1"/>
    <xf numFmtId="0" fontId="2" fillId="3" borderId="0" xfId="0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A5A6-638B-48F6-A074-9D23DA7E2212}">
  <dimension ref="A2:F73"/>
  <sheetViews>
    <sheetView workbookViewId="0">
      <selection activeCell="B18" sqref="B18"/>
    </sheetView>
  </sheetViews>
  <sheetFormatPr defaultRowHeight="14.4" x14ac:dyDescent="0.3"/>
  <cols>
    <col min="1" max="1" width="58.5546875" bestFit="1" customWidth="1"/>
    <col min="2" max="2" width="82.77734375" bestFit="1" customWidth="1"/>
    <col min="3" max="3" width="11" bestFit="1" customWidth="1"/>
    <col min="4" max="4" width="17.109375" bestFit="1" customWidth="1"/>
    <col min="5" max="5" width="10.44140625" bestFit="1" customWidth="1"/>
  </cols>
  <sheetData>
    <row r="2" spans="1:6" s="8" customFormat="1" x14ac:dyDescent="0.3">
      <c r="A2" s="7" t="s">
        <v>24</v>
      </c>
    </row>
    <row r="3" spans="1:6" x14ac:dyDescent="0.3">
      <c r="A3" s="1" t="s">
        <v>20</v>
      </c>
    </row>
    <row r="5" spans="1:6" x14ac:dyDescent="0.3">
      <c r="A5" s="1" t="s">
        <v>3</v>
      </c>
      <c r="B5" s="1" t="s">
        <v>0</v>
      </c>
      <c r="C5" s="1" t="s">
        <v>9</v>
      </c>
      <c r="D5" s="1" t="s">
        <v>25</v>
      </c>
      <c r="E5" s="1" t="s">
        <v>10</v>
      </c>
    </row>
    <row r="6" spans="1:6" x14ac:dyDescent="0.3">
      <c r="A6" t="s">
        <v>28</v>
      </c>
      <c r="B6" t="s">
        <v>29</v>
      </c>
      <c r="C6" s="2">
        <v>67</v>
      </c>
      <c r="D6" s="2">
        <v>21</v>
      </c>
      <c r="E6" s="2">
        <f t="shared" ref="E6:E17" si="0">C6-D6</f>
        <v>46</v>
      </c>
    </row>
    <row r="7" spans="1:6" x14ac:dyDescent="0.3">
      <c r="A7" t="s">
        <v>35</v>
      </c>
      <c r="B7" t="s">
        <v>31</v>
      </c>
      <c r="C7" s="2">
        <v>8130</v>
      </c>
      <c r="D7" s="2">
        <v>8106</v>
      </c>
      <c r="E7" s="3">
        <f>C7-D7</f>
        <v>24</v>
      </c>
    </row>
    <row r="8" spans="1:6" x14ac:dyDescent="0.3">
      <c r="A8" t="s">
        <v>41</v>
      </c>
      <c r="B8" s="6" t="s">
        <v>42</v>
      </c>
      <c r="C8" s="2">
        <v>398</v>
      </c>
      <c r="D8" s="2">
        <v>468</v>
      </c>
      <c r="E8" s="3">
        <f>C8-D8</f>
        <v>-70</v>
      </c>
    </row>
    <row r="9" spans="1:6" x14ac:dyDescent="0.3">
      <c r="A9" t="s">
        <v>34</v>
      </c>
      <c r="B9" t="s">
        <v>32</v>
      </c>
      <c r="C9" s="2">
        <v>59</v>
      </c>
      <c r="D9" s="2">
        <v>-935</v>
      </c>
      <c r="E9" s="3">
        <f t="shared" si="0"/>
        <v>994</v>
      </c>
    </row>
    <row r="10" spans="1:6" x14ac:dyDescent="0.3">
      <c r="A10" t="s">
        <v>33</v>
      </c>
      <c r="B10" t="s">
        <v>36</v>
      </c>
      <c r="C10" s="2">
        <v>0</v>
      </c>
      <c r="D10" s="2">
        <v>994</v>
      </c>
      <c r="E10" s="3">
        <f t="shared" si="0"/>
        <v>-994</v>
      </c>
    </row>
    <row r="11" spans="1:6" ht="15" thickBot="1" x14ac:dyDescent="0.35">
      <c r="A11" t="s">
        <v>39</v>
      </c>
      <c r="B11" t="s">
        <v>40</v>
      </c>
      <c r="C11" s="2">
        <v>24255</v>
      </c>
      <c r="D11" s="2">
        <v>24255</v>
      </c>
      <c r="E11" s="5">
        <f>C11-D11</f>
        <v>0</v>
      </c>
      <c r="F11" t="s">
        <v>30</v>
      </c>
    </row>
    <row r="12" spans="1:6" ht="15" thickTop="1" x14ac:dyDescent="0.3">
      <c r="C12" s="2"/>
      <c r="D12" s="2"/>
      <c r="E12" s="2"/>
    </row>
    <row r="13" spans="1:6" ht="15" thickBot="1" x14ac:dyDescent="0.35">
      <c r="A13" t="s">
        <v>4</v>
      </c>
      <c r="B13" t="s">
        <v>16</v>
      </c>
      <c r="C13" s="2">
        <v>-16609</v>
      </c>
      <c r="D13" s="2">
        <v>-16609</v>
      </c>
      <c r="E13" s="4">
        <f>C13-D13</f>
        <v>0</v>
      </c>
      <c r="F13" t="s">
        <v>30</v>
      </c>
    </row>
    <row r="14" spans="1:6" ht="15" thickTop="1" x14ac:dyDescent="0.3">
      <c r="C14" s="2"/>
      <c r="D14" s="2"/>
      <c r="E14" s="2"/>
    </row>
    <row r="15" spans="1:6" x14ac:dyDescent="0.3">
      <c r="A15" t="s">
        <v>38</v>
      </c>
      <c r="B15" s="6" t="s">
        <v>42</v>
      </c>
      <c r="C15" s="2">
        <v>-355</v>
      </c>
      <c r="D15" s="2">
        <v>0</v>
      </c>
      <c r="E15" s="3">
        <f t="shared" si="0"/>
        <v>-355</v>
      </c>
    </row>
    <row r="16" spans="1:6" x14ac:dyDescent="0.3">
      <c r="A16" t="s">
        <v>37</v>
      </c>
      <c r="B16" t="s">
        <v>13</v>
      </c>
      <c r="C16" s="2">
        <v>-242</v>
      </c>
      <c r="D16" s="2">
        <v>-71</v>
      </c>
      <c r="E16" s="3">
        <f t="shared" si="0"/>
        <v>-171</v>
      </c>
    </row>
    <row r="17" spans="1:6" x14ac:dyDescent="0.3">
      <c r="A17" t="s">
        <v>5</v>
      </c>
      <c r="B17" t="s">
        <v>12</v>
      </c>
      <c r="C17" s="2">
        <v>0</v>
      </c>
      <c r="D17" s="2">
        <v>-526</v>
      </c>
      <c r="E17" s="3">
        <f t="shared" si="0"/>
        <v>526</v>
      </c>
      <c r="F17" t="s">
        <v>27</v>
      </c>
    </row>
    <row r="18" spans="1:6" ht="15" thickBot="1" x14ac:dyDescent="0.35">
      <c r="A18" t="s">
        <v>11</v>
      </c>
      <c r="B18" t="s">
        <v>17</v>
      </c>
      <c r="C18" s="2">
        <v>-8458</v>
      </c>
      <c r="D18" s="2">
        <v>-8458</v>
      </c>
      <c r="E18" s="4">
        <f>C18-D18</f>
        <v>0</v>
      </c>
      <c r="F18" t="s">
        <v>30</v>
      </c>
    </row>
    <row r="19" spans="1:6" ht="15" thickTop="1" x14ac:dyDescent="0.3">
      <c r="C19" s="2"/>
      <c r="D19" s="2"/>
      <c r="E19" s="2"/>
    </row>
    <row r="20" spans="1:6" s="8" customFormat="1" x14ac:dyDescent="0.3">
      <c r="A20" s="7" t="s">
        <v>21</v>
      </c>
      <c r="B20" s="7"/>
    </row>
    <row r="21" spans="1:6" x14ac:dyDescent="0.3">
      <c r="A21" s="1" t="s">
        <v>43</v>
      </c>
      <c r="C21" s="2"/>
      <c r="D21" s="2"/>
      <c r="E21" s="2"/>
    </row>
    <row r="22" spans="1:6" x14ac:dyDescent="0.3">
      <c r="C22" s="2"/>
      <c r="D22" s="2"/>
      <c r="E22" s="2"/>
    </row>
    <row r="23" spans="1:6" x14ac:dyDescent="0.3">
      <c r="A23" s="1" t="s">
        <v>3</v>
      </c>
      <c r="B23" s="1" t="s">
        <v>0</v>
      </c>
      <c r="C23" s="1" t="s">
        <v>9</v>
      </c>
      <c r="D23" s="1" t="s">
        <v>25</v>
      </c>
      <c r="E23" s="1" t="s">
        <v>10</v>
      </c>
    </row>
    <row r="24" spans="1:6" ht="15" thickBot="1" x14ac:dyDescent="0.35">
      <c r="A24" t="s">
        <v>39</v>
      </c>
      <c r="B24" t="s">
        <v>40</v>
      </c>
      <c r="C24" s="2">
        <v>25591</v>
      </c>
      <c r="D24" s="2">
        <v>25591</v>
      </c>
      <c r="E24" s="5">
        <f>C24-D24</f>
        <v>0</v>
      </c>
      <c r="F24" t="s">
        <v>30</v>
      </c>
    </row>
    <row r="25" spans="1:6" ht="15" thickTop="1" x14ac:dyDescent="0.3">
      <c r="C25" s="2"/>
      <c r="D25" s="2"/>
      <c r="E25" s="2"/>
    </row>
    <row r="26" spans="1:6" x14ac:dyDescent="0.3">
      <c r="A26" t="s">
        <v>1</v>
      </c>
      <c r="B26" t="s">
        <v>19</v>
      </c>
      <c r="C26" s="2">
        <v>-316</v>
      </c>
      <c r="D26" s="2">
        <v>0</v>
      </c>
      <c r="E26" s="3">
        <f>C26-D26</f>
        <v>-316</v>
      </c>
    </row>
    <row r="27" spans="1:6" x14ac:dyDescent="0.3">
      <c r="A27" t="s">
        <v>2</v>
      </c>
      <c r="B27" t="s">
        <v>15</v>
      </c>
      <c r="C27" s="2">
        <v>71</v>
      </c>
      <c r="D27" s="2">
        <v>-271</v>
      </c>
      <c r="E27" s="3">
        <f>C27-D27</f>
        <v>342</v>
      </c>
    </row>
    <row r="28" spans="1:6" ht="15" thickBot="1" x14ac:dyDescent="0.35">
      <c r="A28" t="s">
        <v>4</v>
      </c>
      <c r="B28" t="s">
        <v>16</v>
      </c>
      <c r="C28" s="2">
        <v>-12611</v>
      </c>
      <c r="D28" s="2">
        <v>-12637</v>
      </c>
      <c r="E28" s="4">
        <f>C28-D28</f>
        <v>26</v>
      </c>
      <c r="F28" t="s">
        <v>30</v>
      </c>
    </row>
    <row r="29" spans="1:6" ht="15" thickTop="1" x14ac:dyDescent="0.3">
      <c r="C29" s="2"/>
      <c r="D29" s="2"/>
      <c r="E29" s="2"/>
    </row>
    <row r="30" spans="1:6" x14ac:dyDescent="0.3">
      <c r="A30" t="s">
        <v>8</v>
      </c>
      <c r="B30" t="s">
        <v>18</v>
      </c>
      <c r="C30" s="2"/>
      <c r="D30" s="2">
        <v>-282</v>
      </c>
      <c r="E30" s="3">
        <f t="shared" ref="E30:E32" si="1">C30-D30</f>
        <v>282</v>
      </c>
    </row>
    <row r="31" spans="1:6" x14ac:dyDescent="0.3">
      <c r="A31" t="s">
        <v>7</v>
      </c>
      <c r="B31" t="s">
        <v>14</v>
      </c>
      <c r="C31" s="2">
        <v>0</v>
      </c>
      <c r="D31" s="2">
        <v>-132</v>
      </c>
      <c r="E31" s="3">
        <f t="shared" si="1"/>
        <v>132</v>
      </c>
    </row>
    <row r="32" spans="1:6" x14ac:dyDescent="0.3">
      <c r="A32" t="s">
        <v>6</v>
      </c>
      <c r="B32" t="s">
        <v>13</v>
      </c>
      <c r="C32" s="2">
        <v>-498</v>
      </c>
      <c r="D32" s="2">
        <v>-58</v>
      </c>
      <c r="E32" s="3">
        <f t="shared" si="1"/>
        <v>-440</v>
      </c>
    </row>
    <row r="33" spans="1:6" ht="15" thickBot="1" x14ac:dyDescent="0.35">
      <c r="A33" t="s">
        <v>11</v>
      </c>
      <c r="B33" t="s">
        <v>17</v>
      </c>
      <c r="C33" s="2">
        <v>-11972</v>
      </c>
      <c r="D33" s="2">
        <v>-11946</v>
      </c>
      <c r="E33" s="4">
        <f>C33-D33</f>
        <v>-26</v>
      </c>
      <c r="F33" t="s">
        <v>30</v>
      </c>
    </row>
    <row r="34" spans="1:6" ht="15" thickTop="1" x14ac:dyDescent="0.3">
      <c r="C34" s="2"/>
      <c r="D34" s="2"/>
      <c r="E34" s="2"/>
    </row>
    <row r="35" spans="1:6" x14ac:dyDescent="0.3">
      <c r="C35" s="2"/>
      <c r="D35" s="2"/>
      <c r="E35" s="2"/>
    </row>
    <row r="36" spans="1:6" s="8" customFormat="1" x14ac:dyDescent="0.3">
      <c r="A36" s="7" t="s">
        <v>23</v>
      </c>
      <c r="B36" s="7"/>
    </row>
    <row r="37" spans="1:6" x14ac:dyDescent="0.3">
      <c r="A37" s="1" t="s">
        <v>22</v>
      </c>
    </row>
    <row r="39" spans="1:6" x14ac:dyDescent="0.3">
      <c r="A39" s="1" t="s">
        <v>3</v>
      </c>
      <c r="B39" s="1" t="s">
        <v>0</v>
      </c>
      <c r="C39" s="1" t="s">
        <v>9</v>
      </c>
      <c r="D39" s="1" t="s">
        <v>25</v>
      </c>
      <c r="E39" s="1" t="s">
        <v>10</v>
      </c>
      <c r="F39" s="1" t="s">
        <v>26</v>
      </c>
    </row>
    <row r="40" spans="1:6" ht="15" thickBot="1" x14ac:dyDescent="0.35">
      <c r="A40" t="s">
        <v>39</v>
      </c>
      <c r="B40" t="s">
        <v>40</v>
      </c>
      <c r="C40" s="2">
        <v>23257</v>
      </c>
      <c r="D40" s="2">
        <v>23257</v>
      </c>
      <c r="E40" s="5">
        <f t="shared" ref="E40" si="2">C40-D40</f>
        <v>0</v>
      </c>
      <c r="F40" t="s">
        <v>30</v>
      </c>
    </row>
    <row r="41" spans="1:6" ht="15" thickTop="1" x14ac:dyDescent="0.3">
      <c r="A41" s="1"/>
      <c r="B41" s="1"/>
      <c r="C41" s="1"/>
      <c r="D41" s="1"/>
      <c r="E41" s="1"/>
      <c r="F41" s="1"/>
    </row>
    <row r="42" spans="1:6" x14ac:dyDescent="0.3">
      <c r="A42" t="s">
        <v>1</v>
      </c>
      <c r="B42" t="s">
        <v>19</v>
      </c>
      <c r="C42" s="2">
        <v>-15</v>
      </c>
      <c r="D42" s="2">
        <v>0</v>
      </c>
      <c r="E42" s="3">
        <f>C42-D42</f>
        <v>-15</v>
      </c>
    </row>
    <row r="43" spans="1:6" x14ac:dyDescent="0.3">
      <c r="A43" t="s">
        <v>2</v>
      </c>
      <c r="B43" t="s">
        <v>15</v>
      </c>
      <c r="C43" s="2">
        <v>105</v>
      </c>
      <c r="D43" s="2">
        <v>-138</v>
      </c>
      <c r="E43" s="3">
        <f t="shared" ref="E43:E44" si="3">C43-D43</f>
        <v>243</v>
      </c>
    </row>
    <row r="44" spans="1:6" ht="15" thickBot="1" x14ac:dyDescent="0.35">
      <c r="A44" t="s">
        <v>4</v>
      </c>
      <c r="B44" t="s">
        <v>16</v>
      </c>
      <c r="C44" s="2">
        <v>-12298</v>
      </c>
      <c r="D44" s="2">
        <v>-12526</v>
      </c>
      <c r="E44" s="5">
        <f t="shared" si="3"/>
        <v>228</v>
      </c>
      <c r="F44" t="s">
        <v>30</v>
      </c>
    </row>
    <row r="45" spans="1:6" ht="15" thickTop="1" x14ac:dyDescent="0.3">
      <c r="C45" s="2"/>
      <c r="D45" s="2"/>
    </row>
    <row r="46" spans="1:6" x14ac:dyDescent="0.3">
      <c r="A46" t="s">
        <v>5</v>
      </c>
      <c r="B46" t="s">
        <v>12</v>
      </c>
      <c r="C46" s="2">
        <v>-722</v>
      </c>
      <c r="D46" s="2">
        <v>0</v>
      </c>
      <c r="E46" s="3">
        <f t="shared" ref="E46:E50" si="4">C46-D46</f>
        <v>-722</v>
      </c>
    </row>
    <row r="47" spans="1:6" x14ac:dyDescent="0.3">
      <c r="A47" t="s">
        <v>8</v>
      </c>
      <c r="B47" t="s">
        <v>18</v>
      </c>
      <c r="C47" s="2"/>
      <c r="D47" s="2">
        <v>-426</v>
      </c>
      <c r="E47" s="3">
        <f t="shared" si="4"/>
        <v>426</v>
      </c>
    </row>
    <row r="48" spans="1:6" x14ac:dyDescent="0.3">
      <c r="A48" t="s">
        <v>7</v>
      </c>
      <c r="B48" t="s">
        <v>14</v>
      </c>
      <c r="C48" s="2">
        <v>0</v>
      </c>
      <c r="D48" s="2">
        <v>-296</v>
      </c>
      <c r="E48" s="3">
        <f t="shared" si="4"/>
        <v>296</v>
      </c>
    </row>
    <row r="49" spans="1:6" x14ac:dyDescent="0.3">
      <c r="A49" t="s">
        <v>6</v>
      </c>
      <c r="B49" t="s">
        <v>13</v>
      </c>
      <c r="C49" s="2">
        <v>-488</v>
      </c>
      <c r="D49" s="2">
        <v>-260</v>
      </c>
      <c r="E49" s="3">
        <f t="shared" si="4"/>
        <v>-228</v>
      </c>
    </row>
    <row r="50" spans="1:6" ht="15" thickBot="1" x14ac:dyDescent="0.35">
      <c r="A50" t="s">
        <v>11</v>
      </c>
      <c r="B50" t="s">
        <v>17</v>
      </c>
      <c r="C50" s="2">
        <v>-11017</v>
      </c>
      <c r="D50" s="2">
        <v>-10789</v>
      </c>
      <c r="E50" s="5">
        <f t="shared" si="4"/>
        <v>-228</v>
      </c>
      <c r="F50" t="s">
        <v>30</v>
      </c>
    </row>
    <row r="51" spans="1:6" ht="15" thickTop="1" x14ac:dyDescent="0.3"/>
    <row r="52" spans="1:6" s="8" customFormat="1" x14ac:dyDescent="0.3">
      <c r="A52" s="7" t="s">
        <v>44</v>
      </c>
      <c r="B52" s="7"/>
    </row>
    <row r="53" spans="1:6" x14ac:dyDescent="0.3">
      <c r="A53" s="1" t="s">
        <v>45</v>
      </c>
    </row>
    <row r="55" spans="1:6" x14ac:dyDescent="0.3">
      <c r="A55" s="1" t="s">
        <v>3</v>
      </c>
      <c r="B55" s="1" t="s">
        <v>0</v>
      </c>
      <c r="C55" s="1" t="s">
        <v>9</v>
      </c>
      <c r="D55" s="1" t="s">
        <v>25</v>
      </c>
      <c r="E55" s="1" t="s">
        <v>10</v>
      </c>
      <c r="F55" s="1" t="s">
        <v>26</v>
      </c>
    </row>
    <row r="56" spans="1:6" ht="15" thickBot="1" x14ac:dyDescent="0.35">
      <c r="A56" t="s">
        <v>39</v>
      </c>
      <c r="B56" t="s">
        <v>40</v>
      </c>
      <c r="C56" s="2">
        <v>28564</v>
      </c>
      <c r="D56" s="2">
        <v>28564</v>
      </c>
      <c r="E56" s="5">
        <f t="shared" ref="E56" si="5">C56-D56</f>
        <v>0</v>
      </c>
      <c r="F56" t="s">
        <v>30</v>
      </c>
    </row>
    <row r="57" spans="1:6" ht="15" thickTop="1" x14ac:dyDescent="0.3"/>
    <row r="58" spans="1:6" ht="15" thickBot="1" x14ac:dyDescent="0.35">
      <c r="A58" t="s">
        <v>4</v>
      </c>
      <c r="B58" t="s">
        <v>16</v>
      </c>
      <c r="C58" s="2">
        <v>-11125</v>
      </c>
      <c r="D58" s="2">
        <v>-11125</v>
      </c>
      <c r="E58" s="5">
        <f t="shared" ref="E58" si="6">C58-D58</f>
        <v>0</v>
      </c>
      <c r="F58" t="s">
        <v>30</v>
      </c>
    </row>
    <row r="59" spans="1:6" ht="15" thickTop="1" x14ac:dyDescent="0.3"/>
    <row r="60" spans="1:6" ht="15" thickBot="1" x14ac:dyDescent="0.35">
      <c r="A60" t="s">
        <v>11</v>
      </c>
      <c r="B60" t="s">
        <v>17</v>
      </c>
      <c r="C60" s="2">
        <v>-15071</v>
      </c>
      <c r="D60" s="2">
        <v>-15071</v>
      </c>
      <c r="E60" s="5">
        <f t="shared" ref="E60" si="7">C60-D60</f>
        <v>0</v>
      </c>
      <c r="F60" t="s">
        <v>30</v>
      </c>
    </row>
    <row r="61" spans="1:6" ht="15" thickTop="1" x14ac:dyDescent="0.3"/>
    <row r="62" spans="1:6" s="8" customFormat="1" x14ac:dyDescent="0.3">
      <c r="A62" s="7" t="s">
        <v>46</v>
      </c>
      <c r="B62" s="7"/>
    </row>
    <row r="63" spans="1:6" x14ac:dyDescent="0.3">
      <c r="A63" s="1" t="s">
        <v>47</v>
      </c>
    </row>
    <row r="65" spans="1:6" x14ac:dyDescent="0.3">
      <c r="A65" s="1" t="s">
        <v>3</v>
      </c>
      <c r="B65" s="1" t="s">
        <v>0</v>
      </c>
      <c r="C65" s="1" t="s">
        <v>9</v>
      </c>
      <c r="D65" s="1" t="s">
        <v>25</v>
      </c>
      <c r="E65" s="1" t="s">
        <v>10</v>
      </c>
      <c r="F65" s="1" t="s">
        <v>26</v>
      </c>
    </row>
    <row r="66" spans="1:6" x14ac:dyDescent="0.3">
      <c r="A66" t="s">
        <v>34</v>
      </c>
      <c r="B66" t="s">
        <v>32</v>
      </c>
      <c r="C66" s="2">
        <v>1303</v>
      </c>
      <c r="D66" s="2">
        <v>1466</v>
      </c>
      <c r="E66" s="3">
        <f t="shared" ref="E66" si="8">C66-D66</f>
        <v>-163</v>
      </c>
      <c r="F66" s="1"/>
    </row>
    <row r="67" spans="1:6" ht="15" thickBot="1" x14ac:dyDescent="0.35">
      <c r="A67" t="s">
        <v>39</v>
      </c>
      <c r="B67" t="s">
        <v>40</v>
      </c>
      <c r="C67" s="2">
        <v>27389</v>
      </c>
      <c r="D67" s="2">
        <v>27552</v>
      </c>
      <c r="E67" s="5">
        <f t="shared" ref="E67" si="9">C67-D67</f>
        <v>-163</v>
      </c>
      <c r="F67" t="s">
        <v>30</v>
      </c>
    </row>
    <row r="68" spans="1:6" ht="15" thickTop="1" x14ac:dyDescent="0.3"/>
    <row r="69" spans="1:6" ht="15" thickBot="1" x14ac:dyDescent="0.35">
      <c r="A69" t="s">
        <v>4</v>
      </c>
      <c r="B69" t="s">
        <v>16</v>
      </c>
      <c r="C69" s="2">
        <v>-10675</v>
      </c>
      <c r="D69" s="2">
        <v>-10675</v>
      </c>
      <c r="E69" s="5">
        <f t="shared" ref="E69" si="10">C69-D69</f>
        <v>0</v>
      </c>
      <c r="F69" t="s">
        <v>30</v>
      </c>
    </row>
    <row r="70" spans="1:6" ht="15" thickTop="1" x14ac:dyDescent="0.3"/>
    <row r="71" spans="1:6" x14ac:dyDescent="0.3">
      <c r="A71" t="s">
        <v>6</v>
      </c>
      <c r="B71" t="s">
        <v>13</v>
      </c>
      <c r="C71" s="2">
        <v>-513</v>
      </c>
      <c r="D71" s="2">
        <v>-676</v>
      </c>
      <c r="E71" s="3">
        <f t="shared" ref="E71" si="11">C71-D71</f>
        <v>163</v>
      </c>
    </row>
    <row r="72" spans="1:6" ht="15" thickBot="1" x14ac:dyDescent="0.35">
      <c r="A72" t="s">
        <v>11</v>
      </c>
      <c r="B72" t="s">
        <v>17</v>
      </c>
      <c r="C72" s="2">
        <v>-16122</v>
      </c>
      <c r="D72" s="2">
        <v>-16285</v>
      </c>
      <c r="E72" s="5">
        <f t="shared" ref="E72" si="12">C72-D72</f>
        <v>163</v>
      </c>
      <c r="F72" t="s">
        <v>30</v>
      </c>
    </row>
    <row r="73" spans="1:6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230C-2F7D-4629-8124-2990C43312C0}">
  <dimension ref="A1:H70"/>
  <sheetViews>
    <sheetView tabSelected="1" topLeftCell="A42" workbookViewId="0">
      <selection activeCell="H62" sqref="H62"/>
    </sheetView>
  </sheetViews>
  <sheetFormatPr defaultRowHeight="14.4" x14ac:dyDescent="0.3"/>
  <cols>
    <col min="1" max="1" width="50" bestFit="1" customWidth="1"/>
    <col min="2" max="2" width="40.6640625" bestFit="1" customWidth="1"/>
    <col min="3" max="3" width="14.109375" customWidth="1"/>
    <col min="4" max="4" width="17.109375" bestFit="1" customWidth="1"/>
    <col min="5" max="5" width="11.88671875" bestFit="1" customWidth="1"/>
  </cols>
  <sheetData>
    <row r="1" spans="1:8" x14ac:dyDescent="0.3">
      <c r="A1" s="7" t="s">
        <v>49</v>
      </c>
      <c r="B1" s="8"/>
      <c r="C1" s="8"/>
      <c r="D1" s="8"/>
      <c r="E1" s="8"/>
    </row>
    <row r="2" spans="1:8" x14ac:dyDescent="0.3">
      <c r="A2" s="1" t="s">
        <v>48</v>
      </c>
    </row>
    <row r="4" spans="1:8" x14ac:dyDescent="0.3">
      <c r="A4" s="1" t="s">
        <v>3</v>
      </c>
      <c r="B4" s="1" t="s">
        <v>0</v>
      </c>
      <c r="C4" s="1" t="s">
        <v>9</v>
      </c>
      <c r="D4" s="1" t="s">
        <v>25</v>
      </c>
      <c r="E4" s="1" t="s">
        <v>10</v>
      </c>
    </row>
    <row r="6" spans="1:8" x14ac:dyDescent="0.3">
      <c r="A6" t="s">
        <v>51</v>
      </c>
      <c r="C6" s="2">
        <v>5892</v>
      </c>
      <c r="D6" s="2">
        <v>2546</v>
      </c>
      <c r="E6" s="3">
        <f>C6-D6</f>
        <v>3346</v>
      </c>
    </row>
    <row r="7" spans="1:8" ht="15" thickBot="1" x14ac:dyDescent="0.35">
      <c r="A7" t="s">
        <v>39</v>
      </c>
      <c r="B7" t="s">
        <v>40</v>
      </c>
      <c r="C7" s="2">
        <v>23003</v>
      </c>
      <c r="D7" s="2">
        <v>19657</v>
      </c>
      <c r="E7" s="5">
        <f>C7-D7</f>
        <v>3346</v>
      </c>
      <c r="F7" t="s">
        <v>30</v>
      </c>
      <c r="H7" t="s">
        <v>52</v>
      </c>
    </row>
    <row r="8" spans="1:8" ht="15" thickTop="1" x14ac:dyDescent="0.3"/>
    <row r="10" spans="1:8" x14ac:dyDescent="0.3">
      <c r="A10" t="s">
        <v>50</v>
      </c>
      <c r="C10" s="2">
        <v>-14849</v>
      </c>
      <c r="D10" s="2">
        <v>-11503</v>
      </c>
      <c r="E10" s="3">
        <f>C10-D10</f>
        <v>-3346</v>
      </c>
    </row>
    <row r="11" spans="1:8" ht="15" thickBot="1" x14ac:dyDescent="0.35">
      <c r="A11" t="s">
        <v>4</v>
      </c>
      <c r="B11" t="s">
        <v>16</v>
      </c>
      <c r="C11" s="2">
        <v>-98380</v>
      </c>
      <c r="D11" s="2">
        <v>-95034</v>
      </c>
      <c r="E11" s="4">
        <f>C11-D11</f>
        <v>-3346</v>
      </c>
      <c r="F11" t="s">
        <v>30</v>
      </c>
    </row>
    <row r="12" spans="1:8" ht="15" thickTop="1" x14ac:dyDescent="0.3"/>
    <row r="14" spans="1:8" ht="15" thickBot="1" x14ac:dyDescent="0.35">
      <c r="A14" t="s">
        <v>11</v>
      </c>
      <c r="B14" t="s">
        <v>17</v>
      </c>
      <c r="C14" s="2">
        <v>117716</v>
      </c>
      <c r="D14" s="2">
        <v>117716</v>
      </c>
      <c r="E14" s="4">
        <f>C14-D14</f>
        <v>0</v>
      </c>
      <c r="F14" t="s">
        <v>30</v>
      </c>
    </row>
    <row r="15" spans="1:8" ht="15" thickTop="1" x14ac:dyDescent="0.3"/>
    <row r="16" spans="1:8" x14ac:dyDescent="0.3">
      <c r="A16" s="7" t="s">
        <v>53</v>
      </c>
      <c r="B16" s="8"/>
      <c r="C16" s="8"/>
      <c r="D16" s="8"/>
      <c r="E16" s="8"/>
    </row>
    <row r="17" spans="1:8" x14ac:dyDescent="0.3">
      <c r="A17" s="1" t="s">
        <v>54</v>
      </c>
    </row>
    <row r="19" spans="1:8" x14ac:dyDescent="0.3">
      <c r="A19" s="1" t="s">
        <v>3</v>
      </c>
      <c r="B19" s="1" t="s">
        <v>0</v>
      </c>
      <c r="C19" s="1" t="s">
        <v>9</v>
      </c>
      <c r="D19" s="1" t="s">
        <v>25</v>
      </c>
      <c r="E19" s="1" t="s">
        <v>10</v>
      </c>
    </row>
    <row r="21" spans="1:8" x14ac:dyDescent="0.3">
      <c r="C21" s="2"/>
      <c r="D21" s="2"/>
      <c r="E21" s="3"/>
      <c r="H21" t="s">
        <v>57</v>
      </c>
    </row>
    <row r="22" spans="1:8" ht="15" thickBot="1" x14ac:dyDescent="0.35">
      <c r="A22" t="s">
        <v>39</v>
      </c>
      <c r="B22" t="s">
        <v>40</v>
      </c>
      <c r="C22" s="2">
        <v>26244</v>
      </c>
      <c r="D22" s="2">
        <v>26244</v>
      </c>
      <c r="E22" s="5">
        <f>C22-D22</f>
        <v>0</v>
      </c>
      <c r="F22" t="s">
        <v>30</v>
      </c>
    </row>
    <row r="23" spans="1:8" ht="15" thickTop="1" x14ac:dyDescent="0.3"/>
    <row r="25" spans="1:8" ht="15" thickBot="1" x14ac:dyDescent="0.35">
      <c r="A25" t="s">
        <v>4</v>
      </c>
      <c r="B25" t="s">
        <v>16</v>
      </c>
      <c r="C25" s="2">
        <v>-75501</v>
      </c>
      <c r="D25" s="2">
        <v>-75501</v>
      </c>
      <c r="E25" s="4">
        <f>C25-D25</f>
        <v>0</v>
      </c>
      <c r="F25" t="s">
        <v>30</v>
      </c>
    </row>
    <row r="26" spans="1:8" ht="15" thickTop="1" x14ac:dyDescent="0.3"/>
    <row r="28" spans="1:8" ht="15" thickBot="1" x14ac:dyDescent="0.35">
      <c r="A28" t="s">
        <v>11</v>
      </c>
      <c r="B28" t="s">
        <v>17</v>
      </c>
      <c r="C28" s="2">
        <v>6366</v>
      </c>
      <c r="D28" s="2">
        <v>6366</v>
      </c>
      <c r="E28" s="4">
        <f>C28-D28</f>
        <v>0</v>
      </c>
      <c r="F28" t="s">
        <v>30</v>
      </c>
    </row>
    <row r="29" spans="1:8" ht="15" thickTop="1" x14ac:dyDescent="0.3"/>
    <row r="30" spans="1:8" x14ac:dyDescent="0.3">
      <c r="A30" s="7" t="s">
        <v>55</v>
      </c>
      <c r="B30" s="8"/>
      <c r="C30" s="8"/>
      <c r="D30" s="8"/>
      <c r="E30" s="8"/>
    </row>
    <row r="31" spans="1:8" x14ac:dyDescent="0.3">
      <c r="A31" s="1" t="s">
        <v>56</v>
      </c>
    </row>
    <row r="33" spans="1:8" x14ac:dyDescent="0.3">
      <c r="A33" s="1" t="s">
        <v>3</v>
      </c>
      <c r="B33" s="1" t="s">
        <v>0</v>
      </c>
      <c r="C33" s="1" t="s">
        <v>9</v>
      </c>
      <c r="D33" s="1" t="s">
        <v>25</v>
      </c>
      <c r="E33" s="1" t="s">
        <v>10</v>
      </c>
    </row>
    <row r="35" spans="1:8" x14ac:dyDescent="0.3">
      <c r="C35" s="2"/>
      <c r="D35" s="2"/>
      <c r="E35" s="3"/>
      <c r="H35" t="s">
        <v>57</v>
      </c>
    </row>
    <row r="36" spans="1:8" ht="15" thickBot="1" x14ac:dyDescent="0.35">
      <c r="A36" t="s">
        <v>39</v>
      </c>
      <c r="B36" t="s">
        <v>40</v>
      </c>
      <c r="C36" s="2">
        <v>57326</v>
      </c>
      <c r="D36" s="2">
        <v>57326</v>
      </c>
      <c r="E36" s="5">
        <f>C36-D36</f>
        <v>0</v>
      </c>
      <c r="F36" t="s">
        <v>30</v>
      </c>
    </row>
    <row r="37" spans="1:8" ht="15" thickTop="1" x14ac:dyDescent="0.3"/>
    <row r="39" spans="1:8" ht="15" thickBot="1" x14ac:dyDescent="0.35">
      <c r="A39" t="s">
        <v>4</v>
      </c>
      <c r="B39" t="s">
        <v>16</v>
      </c>
      <c r="C39" s="2">
        <v>-66874</v>
      </c>
      <c r="D39" s="2">
        <v>-66874</v>
      </c>
      <c r="E39" s="4">
        <f>C39-D39</f>
        <v>0</v>
      </c>
      <c r="F39" t="s">
        <v>30</v>
      </c>
    </row>
    <row r="40" spans="1:8" ht="15" thickTop="1" x14ac:dyDescent="0.3"/>
    <row r="42" spans="1:8" ht="15" thickBot="1" x14ac:dyDescent="0.35">
      <c r="A42" t="s">
        <v>11</v>
      </c>
      <c r="B42" t="s">
        <v>17</v>
      </c>
      <c r="C42" s="2">
        <v>3118</v>
      </c>
      <c r="D42" s="2">
        <v>3118</v>
      </c>
      <c r="E42" s="4">
        <f>C42-D42</f>
        <v>0</v>
      </c>
      <c r="F42" t="s">
        <v>30</v>
      </c>
    </row>
    <row r="43" spans="1:8" ht="15" thickTop="1" x14ac:dyDescent="0.3"/>
    <row r="44" spans="1:8" x14ac:dyDescent="0.3">
      <c r="A44" s="7" t="s">
        <v>58</v>
      </c>
      <c r="B44" s="8"/>
      <c r="C44" s="8"/>
      <c r="D44" s="8"/>
      <c r="E44" s="8"/>
    </row>
    <row r="45" spans="1:8" x14ac:dyDescent="0.3">
      <c r="A45" s="1" t="s">
        <v>59</v>
      </c>
    </row>
    <row r="47" spans="1:8" x14ac:dyDescent="0.3">
      <c r="A47" s="1" t="s">
        <v>3</v>
      </c>
      <c r="B47" s="1" t="s">
        <v>0</v>
      </c>
      <c r="C47" s="1" t="s">
        <v>9</v>
      </c>
      <c r="D47" s="1" t="s">
        <v>25</v>
      </c>
      <c r="E47" s="1" t="s">
        <v>10</v>
      </c>
    </row>
    <row r="49" spans="1:7" x14ac:dyDescent="0.3">
      <c r="A49" t="s">
        <v>70</v>
      </c>
      <c r="C49" s="2">
        <v>35345</v>
      </c>
      <c r="D49" s="2">
        <v>13884</v>
      </c>
      <c r="E49" s="2">
        <f>C49-D49</f>
        <v>21461</v>
      </c>
      <c r="G49" t="s">
        <v>76</v>
      </c>
    </row>
    <row r="50" spans="1:7" x14ac:dyDescent="0.3">
      <c r="A50" t="s">
        <v>60</v>
      </c>
      <c r="C50" s="2">
        <v>58538</v>
      </c>
      <c r="D50" s="2">
        <v>57831</v>
      </c>
      <c r="E50" s="2">
        <f t="shared" ref="E50:E65" si="0">C50-D50</f>
        <v>707</v>
      </c>
    </row>
    <row r="51" spans="1:7" x14ac:dyDescent="0.3">
      <c r="A51" t="s">
        <v>61</v>
      </c>
      <c r="C51" s="2">
        <v>12129</v>
      </c>
      <c r="D51" s="2">
        <v>9984</v>
      </c>
      <c r="E51" s="2">
        <f t="shared" si="0"/>
        <v>2145</v>
      </c>
    </row>
    <row r="52" spans="1:7" x14ac:dyDescent="0.3">
      <c r="A52" t="s">
        <v>71</v>
      </c>
      <c r="C52" s="2">
        <v>7542</v>
      </c>
      <c r="D52" s="2">
        <v>7752</v>
      </c>
      <c r="E52" s="2">
        <f t="shared" si="0"/>
        <v>-210</v>
      </c>
    </row>
    <row r="53" spans="1:7" x14ac:dyDescent="0.3">
      <c r="A53" t="s">
        <v>62</v>
      </c>
      <c r="C53" s="2">
        <v>-9807</v>
      </c>
      <c r="D53" s="2">
        <v>-9329</v>
      </c>
      <c r="E53" s="2">
        <f t="shared" si="0"/>
        <v>-478</v>
      </c>
    </row>
    <row r="54" spans="1:7" x14ac:dyDescent="0.3">
      <c r="A54" t="s">
        <v>63</v>
      </c>
      <c r="C54" s="2">
        <v>25293</v>
      </c>
      <c r="D54" s="2">
        <v>-17511</v>
      </c>
      <c r="E54" s="2">
        <f t="shared" si="0"/>
        <v>42804</v>
      </c>
    </row>
    <row r="55" spans="1:7" x14ac:dyDescent="0.3">
      <c r="A55" t="s">
        <v>64</v>
      </c>
      <c r="C55" s="2">
        <v>-38710</v>
      </c>
      <c r="D55" s="2">
        <v>-29517</v>
      </c>
      <c r="E55" s="2">
        <f t="shared" si="0"/>
        <v>-9193</v>
      </c>
    </row>
    <row r="56" spans="1:7" x14ac:dyDescent="0.3">
      <c r="A56" t="s">
        <v>65</v>
      </c>
      <c r="C56" s="2">
        <v>-95470</v>
      </c>
      <c r="D56" s="2">
        <v>-72796</v>
      </c>
      <c r="E56" s="2">
        <f t="shared" si="0"/>
        <v>-22674</v>
      </c>
    </row>
    <row r="57" spans="1:7" x14ac:dyDescent="0.3">
      <c r="A57" t="s">
        <v>66</v>
      </c>
      <c r="C57" s="2">
        <v>-15262</v>
      </c>
      <c r="D57" s="2">
        <v>-19385</v>
      </c>
      <c r="E57" s="2">
        <f t="shared" si="0"/>
        <v>4123</v>
      </c>
    </row>
    <row r="58" spans="1:7" x14ac:dyDescent="0.3">
      <c r="A58" t="s">
        <v>67</v>
      </c>
      <c r="C58" s="2">
        <v>-13180</v>
      </c>
      <c r="D58" s="2">
        <v>30372</v>
      </c>
      <c r="E58" s="2">
        <f t="shared" si="0"/>
        <v>-43552</v>
      </c>
    </row>
    <row r="59" spans="1:7" x14ac:dyDescent="0.3">
      <c r="A59" t="s">
        <v>68</v>
      </c>
      <c r="C59" s="2">
        <v>11024</v>
      </c>
      <c r="D59" s="2">
        <v>13963</v>
      </c>
      <c r="E59" s="2">
        <f t="shared" si="0"/>
        <v>-2939</v>
      </c>
    </row>
    <row r="60" spans="1:7" x14ac:dyDescent="0.3">
      <c r="A60" t="s">
        <v>69</v>
      </c>
      <c r="C60" s="2">
        <v>26249</v>
      </c>
      <c r="D60" s="2">
        <v>27967</v>
      </c>
      <c r="E60" s="2">
        <f t="shared" si="0"/>
        <v>-1718</v>
      </c>
    </row>
    <row r="61" spans="1:7" ht="15" thickBot="1" x14ac:dyDescent="0.35">
      <c r="A61" t="s">
        <v>39</v>
      </c>
      <c r="B61" t="s">
        <v>40</v>
      </c>
      <c r="C61" s="2">
        <v>30918</v>
      </c>
      <c r="D61" s="2">
        <v>40442</v>
      </c>
      <c r="E61" s="4">
        <f t="shared" si="0"/>
        <v>-9524</v>
      </c>
      <c r="F61" t="s">
        <v>30</v>
      </c>
    </row>
    <row r="62" spans="1:7" ht="15" thickTop="1" x14ac:dyDescent="0.3"/>
    <row r="63" spans="1:7" x14ac:dyDescent="0.3">
      <c r="A63" t="s">
        <v>72</v>
      </c>
      <c r="C63" s="2">
        <v>-987802</v>
      </c>
      <c r="D63" s="2">
        <v>-987428</v>
      </c>
      <c r="E63" s="2">
        <f t="shared" si="0"/>
        <v>-374</v>
      </c>
    </row>
    <row r="64" spans="1:7" x14ac:dyDescent="0.3">
      <c r="A64" t="s">
        <v>73</v>
      </c>
      <c r="C64" s="2">
        <v>-8532</v>
      </c>
      <c r="D64" s="2">
        <v>-8908</v>
      </c>
      <c r="E64" s="2">
        <f t="shared" si="0"/>
        <v>376</v>
      </c>
    </row>
    <row r="65" spans="1:6" x14ac:dyDescent="0.3">
      <c r="A65" t="s">
        <v>74</v>
      </c>
      <c r="C65" s="2">
        <v>-29568</v>
      </c>
      <c r="D65" s="2">
        <v>-29899</v>
      </c>
      <c r="E65" s="2">
        <f t="shared" si="0"/>
        <v>331</v>
      </c>
    </row>
    <row r="66" spans="1:6" ht="15" thickBot="1" x14ac:dyDescent="0.35">
      <c r="A66" t="s">
        <v>4</v>
      </c>
      <c r="B66" t="s">
        <v>16</v>
      </c>
      <c r="C66" s="2">
        <v>-966541</v>
      </c>
      <c r="D66" s="2">
        <v>-966874</v>
      </c>
      <c r="E66" s="4">
        <f>C66-D66</f>
        <v>333</v>
      </c>
      <c r="F66" t="s">
        <v>30</v>
      </c>
    </row>
    <row r="67" spans="1:6" ht="15" thickTop="1" x14ac:dyDescent="0.3"/>
    <row r="68" spans="1:6" x14ac:dyDescent="0.3">
      <c r="A68" t="s">
        <v>75</v>
      </c>
      <c r="C68" s="2">
        <v>38710</v>
      </c>
      <c r="D68" s="2">
        <v>29517</v>
      </c>
      <c r="E68" s="2">
        <f t="shared" ref="E68" si="1">C68-D68</f>
        <v>9193</v>
      </c>
    </row>
    <row r="69" spans="1:6" ht="15" thickBot="1" x14ac:dyDescent="0.35">
      <c r="A69" t="s">
        <v>11</v>
      </c>
      <c r="B69" t="s">
        <v>17</v>
      </c>
      <c r="C69" s="2">
        <v>972308</v>
      </c>
      <c r="D69" s="2">
        <v>963116</v>
      </c>
      <c r="E69" s="4">
        <f>C69-D69</f>
        <v>9192</v>
      </c>
      <c r="F69" t="s">
        <v>30</v>
      </c>
    </row>
    <row r="70" spans="1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 Filings</vt:lpstr>
      <vt:lpstr>Akorn FIlings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Peterson</dc:creator>
  <cp:lastModifiedBy>Matthew Peterson</cp:lastModifiedBy>
  <dcterms:created xsi:type="dcterms:W3CDTF">2026-04-02T02:23:59Z</dcterms:created>
  <dcterms:modified xsi:type="dcterms:W3CDTF">2026-09-11T19:10:45Z</dcterms:modified>
</cp:coreProperties>
</file>